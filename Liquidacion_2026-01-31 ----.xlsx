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oPersonal\Desktop\Repartidores\"/>
    </mc:Choice>
  </mc:AlternateContent>
  <bookViews>
    <workbookView xWindow="0" yWindow="0" windowWidth="15360" windowHeight="7755" activeTab="3"/>
  </bookViews>
  <sheets>
    <sheet name="CRISTIAN" sheetId="1" r:id="rId1"/>
    <sheet name="CRISTIANA" sheetId="2" r:id="rId2"/>
    <sheet name="CRISTIANI" sheetId="3" r:id="rId3"/>
    <sheet name="DAVID" sheetId="4" r:id="rId4"/>
    <sheet name="PENDIENTE" sheetId="5" r:id="rId5"/>
    <sheet name="PENDIENTETE" sheetId="6" r:id="rId6"/>
  </sheets>
  <calcPr calcId="152511"/>
</workbook>
</file>

<file path=xl/calcChain.xml><?xml version="1.0" encoding="utf-8"?>
<calcChain xmlns="http://schemas.openxmlformats.org/spreadsheetml/2006/main">
  <c r="C36" i="6" l="1"/>
  <c r="C42" i="5"/>
  <c r="C12" i="5"/>
  <c r="C77" i="4"/>
  <c r="C55" i="4"/>
  <c r="D45" i="4"/>
  <c r="C36" i="4"/>
  <c r="C36" i="3"/>
  <c r="C36" i="2"/>
  <c r="C61" i="1"/>
  <c r="C31" i="1"/>
</calcChain>
</file>

<file path=xl/sharedStrings.xml><?xml version="1.0" encoding="utf-8"?>
<sst xmlns="http://schemas.openxmlformats.org/spreadsheetml/2006/main" count="404" uniqueCount="122">
  <si>
    <t>LIQUIDACIÓN DE REPARTIDOR — CRISTIAN</t>
  </si>
  <si>
    <t>Fecha:</t>
  </si>
  <si>
    <t>2026-01-31</t>
  </si>
  <si>
    <t>VENTAS DEL DÍA</t>
  </si>
  <si>
    <t>Folio</t>
  </si>
  <si>
    <t>Cliente</t>
  </si>
  <si>
    <t>Subtotal</t>
  </si>
  <si>
    <t>Cancelada</t>
  </si>
  <si>
    <t>Mercahorro 1 Ruta Jardin</t>
  </si>
  <si>
    <t>NO</t>
  </si>
  <si>
    <t>Legumbreria mercahorro 1 Ruta Jardin</t>
  </si>
  <si>
    <t>Carniceria mercahorro 1 Ruta Jardin</t>
  </si>
  <si>
    <t>Mercahorro 2 autoservicio Ruta Jardin</t>
  </si>
  <si>
    <t>Carnes San Blas Ruta San Blas</t>
  </si>
  <si>
    <t>INVERSIONES CARNiCAMPO popular</t>
  </si>
  <si>
    <t>Ferreteria Fausto Ruta San Blas</t>
  </si>
  <si>
    <t>Autoservicio MyF El morro</t>
  </si>
  <si>
    <t>Tienda Adriana El morro</t>
  </si>
  <si>
    <t>Tienda el primo El morro</t>
  </si>
  <si>
    <t>La granja 2 Ruta Brisas</t>
  </si>
  <si>
    <t>La bendicion de Dios Ruta Brisas</t>
  </si>
  <si>
    <t>tienda La huerta mitad Ruta Brisas</t>
  </si>
  <si>
    <t>VARIEDADES LUPE</t>
  </si>
  <si>
    <t>Legumbreria Omar Ruta San Blas</t>
  </si>
  <si>
    <t>Brosty Jardin Ruta Jardin</t>
  </si>
  <si>
    <t>Distribuidora Jefferson Ruta Jardin</t>
  </si>
  <si>
    <t>Variedades Gojir Ruta Jardin</t>
  </si>
  <si>
    <t>Panaderia dulce vida Ruta Jardin</t>
  </si>
  <si>
    <t>CARNES SOFI</t>
  </si>
  <si>
    <t>FRUTAS Y VERDURAS EL ORIENTE RUTA LA 45 ( AL FRENT</t>
  </si>
  <si>
    <t>Fuente vida Ruta Balcones</t>
  </si>
  <si>
    <t>Granero Aristizabal Ruta Jardin</t>
  </si>
  <si>
    <t>Helados Caguan Ruta San Blas</t>
  </si>
  <si>
    <t>Mercavariedades Ruta Jardin</t>
  </si>
  <si>
    <t>Total Subtotal:</t>
  </si>
  <si>
    <t>DESCUENTOS</t>
  </si>
  <si>
    <t>Tipo</t>
  </si>
  <si>
    <t>Monto</t>
  </si>
  <si>
    <t>Observación</t>
  </si>
  <si>
    <t>Total Descuentos:</t>
  </si>
  <si>
    <t>GASTOS ADICIONALES</t>
  </si>
  <si>
    <t>#</t>
  </si>
  <si>
    <t>Concepto</t>
  </si>
  <si>
    <t>Total Gastos:</t>
  </si>
  <si>
    <t>RESUMEN FINANCIERO</t>
  </si>
  <si>
    <t>Total Subtotal</t>
  </si>
  <si>
    <t>Total Descuentos</t>
  </si>
  <si>
    <t>Total Gastos</t>
  </si>
  <si>
    <t>Total a Descontar</t>
  </si>
  <si>
    <t>TOTAL NETO A PAGAR</t>
  </si>
  <si>
    <t>CONTEO DE DINERO</t>
  </si>
  <si>
    <t>Denominación</t>
  </si>
  <si>
    <t>Cantidad</t>
  </si>
  <si>
    <t>$100,000</t>
  </si>
  <si>
    <t>$50,000</t>
  </si>
  <si>
    <t>$20,000</t>
  </si>
  <si>
    <t>$10,000</t>
  </si>
  <si>
    <t>$5,000</t>
  </si>
  <si>
    <t>$2,000</t>
  </si>
  <si>
    <t>$1,000</t>
  </si>
  <si>
    <t>$500</t>
  </si>
  <si>
    <t>$200</t>
  </si>
  <si>
    <t>$100</t>
  </si>
  <si>
    <t>$50</t>
  </si>
  <si>
    <t>TOTAL DINERO:</t>
  </si>
  <si>
    <t>DIFERENCIA</t>
  </si>
  <si>
    <t>LIQUIDACIÓN DE REPARTIDOR — CRISTIANA</t>
  </si>
  <si>
    <t>✓ CUADRADA</t>
  </si>
  <si>
    <t>LIQUIDACIÓN DE REPARTIDOR — CRISTIANI</t>
  </si>
  <si>
    <t>LIQUIDACIÓN DE REPARTIDOR — DAVID</t>
  </si>
  <si>
    <t>SABOR AL CARBON</t>
  </si>
  <si>
    <t>Carniceria mercahorro 3 Ruta Jardin</t>
  </si>
  <si>
    <t>Legumbreria mercahorro 3 Ruta Jardin</t>
  </si>
  <si>
    <t>Aves y peces Ruta San Blas</t>
  </si>
  <si>
    <t>FRUVER LA AVENIDA RUTA SAN BLAS</t>
  </si>
  <si>
    <t>Autoservicio el caguan Ruta San Blas</t>
  </si>
  <si>
    <t>Autoservicio mercahorro 3 Ruta Jardin</t>
  </si>
  <si>
    <t>Legumbreria Mercahorro 2 Ruta Jardin</t>
  </si>
  <si>
    <t>Pan y pastel Ruta San Blas</t>
  </si>
  <si>
    <t>la curva la cima</t>
  </si>
  <si>
    <t>Autoservicio la 33 Ruta la sequia</t>
  </si>
  <si>
    <t>El exitoso la 32 Ruta la sequia</t>
  </si>
  <si>
    <t>Granero la 32 Ruta la sequia</t>
  </si>
  <si>
    <t>Panaderia la 32 Ruta la sequia</t>
  </si>
  <si>
    <t>Carnes la 32 Ruta la sequia</t>
  </si>
  <si>
    <t>Tienda JyM Ruta la sequia</t>
  </si>
  <si>
    <t>La economia Ruta la sequia</t>
  </si>
  <si>
    <t>Fruver la uva La Uva</t>
  </si>
  <si>
    <t>FRITY UVA</t>
  </si>
  <si>
    <t>Veterinaria uva La Uva</t>
  </si>
  <si>
    <t>DISTRI FRUVER RELACTOR</t>
  </si>
  <si>
    <t>CAMI PAN RELACTOR</t>
  </si>
  <si>
    <t>TIENDA NIEVES RUTA BALCONES</t>
  </si>
  <si>
    <t>Carniceria el templo Ruta la 45</t>
  </si>
  <si>
    <t>LICORES JUANKA</t>
  </si>
  <si>
    <t>CARNES J Y M SAN PABLO</t>
  </si>
  <si>
    <t>Distribuidora brisas La Uva</t>
  </si>
  <si>
    <t>23118</t>
  </si>
  <si>
    <t>Crédito</t>
  </si>
  <si>
    <t>PAGA A LAS 5 PM</t>
  </si>
  <si>
    <t>23069</t>
  </si>
  <si>
    <t>23114</t>
  </si>
  <si>
    <t>PARA MAÑANA</t>
  </si>
  <si>
    <t>23053</t>
  </si>
  <si>
    <t>Ajuste</t>
  </si>
  <si>
    <t>PAPELERA X10</t>
  </si>
  <si>
    <t>23096</t>
  </si>
  <si>
    <t>AJUSTE DE PRECIO POR MARIANA</t>
  </si>
  <si>
    <t>REPUESTO DE MOTO DAVID (PASTILLAS, KIT D ARRAS)</t>
  </si>
  <si>
    <t>ROLLOS FARAON</t>
  </si>
  <si>
    <t>PEPI</t>
  </si>
  <si>
    <t>MANO OBRA ARREGLO MOTO</t>
  </si>
  <si>
    <t>GASOLINA MOTO ARLEY Y MOTO DAVID</t>
  </si>
  <si>
    <t>RECIBI 1 MILLON PARA PODER PAGAR A ARLEY Y MARIANA</t>
  </si>
  <si>
    <t>LIQUIDACIÓN DE REPARTIDOR — PENDIENTE</t>
  </si>
  <si>
    <t>Distribuidora la sombrita Ruta San Blas</t>
  </si>
  <si>
    <t>Mandingas San Blas Ruta San Blas</t>
  </si>
  <si>
    <t>Caracas La Uva</t>
  </si>
  <si>
    <t>Brasa y leñas La Uva</t>
  </si>
  <si>
    <t>Doña Ruca La Uva</t>
  </si>
  <si>
    <t>Panaderia Montecarlo Ruta Jardin</t>
  </si>
  <si>
    <t>LIQUIDACIÓN DE REPARTIDOR — PENDIENTETE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</si>
</sst>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2"/>
      <color rgb="FF2E7D32"/>
      <name val="Arial"/>
    </font>
    <font>
      <b/>
      <sz val="11"/>
      <color rgb="FFC62828"/>
      <name val="Arial"/>
    </font>
    <font>
      <b/>
      <sz val="11"/>
      <color rgb="FF2E7D32"/>
      <name val="Arial"/>
    </font>
  </fonts>
  <fills count="1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5" fillId="7" borderId="1" xfId="0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4" fontId="6" fillId="8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5" fillId="9" borderId="1" xfId="0" applyFont="1" applyFill="1" applyBorder="1" applyAlignment="1">
      <alignment horizontal="right" vertical="center"/>
    </xf>
    <xf numFmtId="4" fontId="5" fillId="9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2" fillId="3" borderId="1" xfId="0" applyFont="1" applyFill="1" applyBorder="1"/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9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sqref="A1:E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0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23042</v>
      </c>
      <c r="B6" s="5" t="s">
        <v>8</v>
      </c>
      <c r="C6" s="6">
        <v>91219.68</v>
      </c>
      <c r="D6" s="4" t="s">
        <v>9</v>
      </c>
    </row>
    <row r="7" spans="1:5" x14ac:dyDescent="0.25">
      <c r="A7" s="7">
        <v>23044</v>
      </c>
      <c r="B7" s="8" t="s">
        <v>10</v>
      </c>
      <c r="C7" s="9">
        <v>24479.17</v>
      </c>
      <c r="D7" s="7" t="s">
        <v>9</v>
      </c>
    </row>
    <row r="8" spans="1:5" x14ac:dyDescent="0.25">
      <c r="A8" s="4">
        <v>23045</v>
      </c>
      <c r="B8" s="5" t="s">
        <v>11</v>
      </c>
      <c r="C8" s="6">
        <v>204033.2</v>
      </c>
      <c r="D8" s="4" t="s">
        <v>9</v>
      </c>
    </row>
    <row r="9" spans="1:5" x14ac:dyDescent="0.25">
      <c r="A9" s="7">
        <v>23046</v>
      </c>
      <c r="B9" s="8" t="s">
        <v>12</v>
      </c>
      <c r="C9" s="9">
        <v>203759.75</v>
      </c>
      <c r="D9" s="7" t="s">
        <v>9</v>
      </c>
    </row>
    <row r="10" spans="1:5" x14ac:dyDescent="0.25">
      <c r="A10" s="4">
        <v>23051</v>
      </c>
      <c r="B10" s="5" t="s">
        <v>13</v>
      </c>
      <c r="C10" s="6">
        <v>32200.84</v>
      </c>
      <c r="D10" s="4" t="s">
        <v>9</v>
      </c>
    </row>
    <row r="11" spans="1:5" x14ac:dyDescent="0.25">
      <c r="A11" s="7">
        <v>23054</v>
      </c>
      <c r="B11" s="8" t="s">
        <v>14</v>
      </c>
      <c r="C11" s="9">
        <v>339452.18400000001</v>
      </c>
      <c r="D11" s="7" t="s">
        <v>9</v>
      </c>
    </row>
    <row r="12" spans="1:5" x14ac:dyDescent="0.25">
      <c r="A12" s="4">
        <v>23060</v>
      </c>
      <c r="B12" s="5" t="s">
        <v>15</v>
      </c>
      <c r="C12" s="6">
        <v>4207.9399999999996</v>
      </c>
      <c r="D12" s="4" t="s">
        <v>9</v>
      </c>
    </row>
    <row r="13" spans="1:5" x14ac:dyDescent="0.25">
      <c r="A13" s="7">
        <v>23073</v>
      </c>
      <c r="B13" s="8" t="s">
        <v>16</v>
      </c>
      <c r="C13" s="9">
        <v>166811.24</v>
      </c>
      <c r="D13" s="7" t="s">
        <v>9</v>
      </c>
    </row>
    <row r="14" spans="1:5" x14ac:dyDescent="0.25">
      <c r="A14" s="4">
        <v>23074</v>
      </c>
      <c r="B14" s="5" t="s">
        <v>17</v>
      </c>
      <c r="C14" s="6">
        <v>65547.72</v>
      </c>
      <c r="D14" s="4" t="s">
        <v>9</v>
      </c>
    </row>
    <row r="15" spans="1:5" x14ac:dyDescent="0.25">
      <c r="A15" s="7">
        <v>23076</v>
      </c>
      <c r="B15" s="8" t="s">
        <v>18</v>
      </c>
      <c r="C15" s="9">
        <v>26748.86</v>
      </c>
      <c r="D15" s="7" t="s">
        <v>9</v>
      </c>
    </row>
    <row r="16" spans="1:5" x14ac:dyDescent="0.25">
      <c r="A16" s="4">
        <v>23077</v>
      </c>
      <c r="B16" s="5" t="s">
        <v>19</v>
      </c>
      <c r="C16" s="6">
        <v>71284</v>
      </c>
      <c r="D16" s="4" t="s">
        <v>9</v>
      </c>
    </row>
    <row r="17" spans="1:4" x14ac:dyDescent="0.25">
      <c r="A17" s="7">
        <v>23079</v>
      </c>
      <c r="B17" s="8" t="s">
        <v>20</v>
      </c>
      <c r="C17" s="9">
        <v>43007.45</v>
      </c>
      <c r="D17" s="7" t="s">
        <v>9</v>
      </c>
    </row>
    <row r="18" spans="1:4" x14ac:dyDescent="0.25">
      <c r="A18" s="4">
        <v>23080</v>
      </c>
      <c r="B18" s="5" t="s">
        <v>21</v>
      </c>
      <c r="C18" s="6">
        <v>29753.22</v>
      </c>
      <c r="D18" s="4" t="s">
        <v>9</v>
      </c>
    </row>
    <row r="19" spans="1:4" x14ac:dyDescent="0.25">
      <c r="A19" s="7">
        <v>23081</v>
      </c>
      <c r="B19" s="8" t="s">
        <v>22</v>
      </c>
      <c r="C19" s="9">
        <v>35800</v>
      </c>
      <c r="D19" s="7" t="s">
        <v>9</v>
      </c>
    </row>
    <row r="20" spans="1:4" x14ac:dyDescent="0.25">
      <c r="A20" s="4">
        <v>23090</v>
      </c>
      <c r="B20" s="5" t="s">
        <v>23</v>
      </c>
      <c r="C20" s="6">
        <v>28519.759999999998</v>
      </c>
      <c r="D20" s="4" t="s">
        <v>9</v>
      </c>
    </row>
    <row r="21" spans="1:4" x14ac:dyDescent="0.25">
      <c r="A21" s="7">
        <v>23091</v>
      </c>
      <c r="B21" s="8" t="s">
        <v>24</v>
      </c>
      <c r="C21" s="9">
        <v>41031.440000000002</v>
      </c>
      <c r="D21" s="7" t="s">
        <v>9</v>
      </c>
    </row>
    <row r="22" spans="1:4" x14ac:dyDescent="0.25">
      <c r="A22" s="4">
        <v>23093</v>
      </c>
      <c r="B22" s="5" t="s">
        <v>25</v>
      </c>
      <c r="C22" s="6">
        <v>45366.5</v>
      </c>
      <c r="D22" s="4" t="s">
        <v>9</v>
      </c>
    </row>
    <row r="23" spans="1:4" x14ac:dyDescent="0.25">
      <c r="A23" s="7">
        <v>23094</v>
      </c>
      <c r="B23" s="8" t="s">
        <v>26</v>
      </c>
      <c r="C23" s="9">
        <v>49884.69</v>
      </c>
      <c r="D23" s="7" t="s">
        <v>9</v>
      </c>
    </row>
    <row r="24" spans="1:4" x14ac:dyDescent="0.25">
      <c r="A24" s="4">
        <v>23095</v>
      </c>
      <c r="B24" s="5" t="s">
        <v>27</v>
      </c>
      <c r="C24" s="6">
        <v>44411.68</v>
      </c>
      <c r="D24" s="4" t="s">
        <v>9</v>
      </c>
    </row>
    <row r="25" spans="1:4" x14ac:dyDescent="0.25">
      <c r="A25" s="7">
        <v>23100</v>
      </c>
      <c r="B25" s="8" t="s">
        <v>28</v>
      </c>
      <c r="C25" s="9">
        <v>51052.52</v>
      </c>
      <c r="D25" s="7" t="s">
        <v>9</v>
      </c>
    </row>
    <row r="26" spans="1:4" x14ac:dyDescent="0.25">
      <c r="A26" s="4">
        <v>23102</v>
      </c>
      <c r="B26" s="5" t="s">
        <v>29</v>
      </c>
      <c r="C26" s="6">
        <v>51600</v>
      </c>
      <c r="D26" s="4" t="s">
        <v>9</v>
      </c>
    </row>
    <row r="27" spans="1:4" x14ac:dyDescent="0.25">
      <c r="A27" s="7">
        <v>23104</v>
      </c>
      <c r="B27" s="8" t="s">
        <v>30</v>
      </c>
      <c r="C27" s="9">
        <v>53186.92</v>
      </c>
      <c r="D27" s="7" t="s">
        <v>9</v>
      </c>
    </row>
    <row r="28" spans="1:4" x14ac:dyDescent="0.25">
      <c r="A28" s="4">
        <v>23106</v>
      </c>
      <c r="B28" s="5" t="s">
        <v>31</v>
      </c>
      <c r="C28" s="6">
        <v>47400</v>
      </c>
      <c r="D28" s="4" t="s">
        <v>9</v>
      </c>
    </row>
    <row r="29" spans="1:4" x14ac:dyDescent="0.25">
      <c r="A29" s="7">
        <v>23107</v>
      </c>
      <c r="B29" s="8" t="s">
        <v>32</v>
      </c>
      <c r="C29" s="9">
        <v>44052.52</v>
      </c>
      <c r="D29" s="7" t="s">
        <v>9</v>
      </c>
    </row>
    <row r="30" spans="1:4" x14ac:dyDescent="0.25">
      <c r="A30" s="4">
        <v>23111</v>
      </c>
      <c r="B30" s="5" t="s">
        <v>33</v>
      </c>
      <c r="C30" s="6">
        <v>68522.759999999995</v>
      </c>
      <c r="D30" s="4" t="s">
        <v>9</v>
      </c>
    </row>
    <row r="31" spans="1:4" x14ac:dyDescent="0.25">
      <c r="A31" s="10"/>
      <c r="B31" s="11" t="s">
        <v>34</v>
      </c>
      <c r="C31" s="12">
        <f>SUM(C6:C30)</f>
        <v>1863334.0439999998</v>
      </c>
      <c r="D31" s="10"/>
    </row>
    <row r="33" spans="1:4" x14ac:dyDescent="0.25">
      <c r="A33" s="24" t="s">
        <v>35</v>
      </c>
      <c r="B33" s="25"/>
      <c r="C33" s="25"/>
      <c r="D33" s="25"/>
    </row>
    <row r="34" spans="1:4" x14ac:dyDescent="0.25">
      <c r="A34" s="3" t="s">
        <v>4</v>
      </c>
      <c r="B34" s="3" t="s">
        <v>36</v>
      </c>
      <c r="C34" s="3" t="s">
        <v>37</v>
      </c>
      <c r="D34" s="3" t="s">
        <v>38</v>
      </c>
    </row>
    <row r="35" spans="1:4" x14ac:dyDescent="0.25">
      <c r="A35" s="10"/>
      <c r="B35" s="10"/>
      <c r="C35" s="11" t="s">
        <v>39</v>
      </c>
      <c r="D35" s="12">
        <v>0</v>
      </c>
    </row>
    <row r="37" spans="1:4" x14ac:dyDescent="0.25">
      <c r="A37" s="24" t="s">
        <v>40</v>
      </c>
      <c r="B37" s="25"/>
      <c r="C37" s="25"/>
    </row>
    <row r="38" spans="1:4" x14ac:dyDescent="0.25">
      <c r="A38" s="3" t="s">
        <v>41</v>
      </c>
      <c r="B38" s="3" t="s">
        <v>42</v>
      </c>
      <c r="C38" s="3" t="s">
        <v>37</v>
      </c>
    </row>
    <row r="39" spans="1:4" x14ac:dyDescent="0.25">
      <c r="A39" s="10"/>
      <c r="B39" s="11" t="s">
        <v>43</v>
      </c>
      <c r="C39" s="12">
        <v>0</v>
      </c>
    </row>
    <row r="41" spans="1:4" x14ac:dyDescent="0.25">
      <c r="A41" s="24" t="s">
        <v>44</v>
      </c>
      <c r="B41" s="25"/>
      <c r="C41" s="25"/>
    </row>
    <row r="42" spans="1:4" x14ac:dyDescent="0.25">
      <c r="A42" s="13" t="s">
        <v>45</v>
      </c>
      <c r="B42" s="14">
        <v>1863334.044</v>
      </c>
    </row>
    <row r="43" spans="1:4" x14ac:dyDescent="0.25">
      <c r="A43" s="13" t="s">
        <v>46</v>
      </c>
      <c r="B43" s="14">
        <v>0</v>
      </c>
    </row>
    <row r="44" spans="1:4" x14ac:dyDescent="0.25">
      <c r="A44" s="13" t="s">
        <v>47</v>
      </c>
      <c r="B44" s="14">
        <v>0</v>
      </c>
    </row>
    <row r="45" spans="1:4" x14ac:dyDescent="0.25">
      <c r="A45" s="13" t="s">
        <v>48</v>
      </c>
      <c r="B45" s="14">
        <v>0</v>
      </c>
    </row>
    <row r="46" spans="1:4" ht="15.75" x14ac:dyDescent="0.25">
      <c r="A46" s="15" t="s">
        <v>49</v>
      </c>
      <c r="B46" s="16">
        <v>1863334.044</v>
      </c>
    </row>
    <row r="48" spans="1:4" x14ac:dyDescent="0.25">
      <c r="A48" s="28" t="s">
        <v>50</v>
      </c>
      <c r="B48" s="29"/>
      <c r="C48" s="29"/>
    </row>
    <row r="49" spans="1:3" x14ac:dyDescent="0.25">
      <c r="A49" s="3" t="s">
        <v>51</v>
      </c>
      <c r="B49" s="3" t="s">
        <v>52</v>
      </c>
      <c r="C49" s="3" t="s">
        <v>6</v>
      </c>
    </row>
    <row r="50" spans="1:3" x14ac:dyDescent="0.25">
      <c r="A50" s="5" t="s">
        <v>53</v>
      </c>
      <c r="B50" s="4">
        <v>0</v>
      </c>
      <c r="C50" s="6">
        <v>0</v>
      </c>
    </row>
    <row r="51" spans="1:3" x14ac:dyDescent="0.25">
      <c r="A51" s="8" t="s">
        <v>54</v>
      </c>
      <c r="B51" s="7">
        <v>0</v>
      </c>
      <c r="C51" s="9">
        <v>0</v>
      </c>
    </row>
    <row r="52" spans="1:3" x14ac:dyDescent="0.25">
      <c r="A52" s="5" t="s">
        <v>55</v>
      </c>
      <c r="B52" s="4">
        <v>0</v>
      </c>
      <c r="C52" s="6">
        <v>0</v>
      </c>
    </row>
    <row r="53" spans="1:3" x14ac:dyDescent="0.25">
      <c r="A53" s="8" t="s">
        <v>56</v>
      </c>
      <c r="B53" s="7">
        <v>0</v>
      </c>
      <c r="C53" s="9">
        <v>0</v>
      </c>
    </row>
    <row r="54" spans="1:3" x14ac:dyDescent="0.25">
      <c r="A54" s="5" t="s">
        <v>57</v>
      </c>
      <c r="B54" s="4">
        <v>0</v>
      </c>
      <c r="C54" s="6">
        <v>0</v>
      </c>
    </row>
    <row r="55" spans="1:3" x14ac:dyDescent="0.25">
      <c r="A55" s="8" t="s">
        <v>58</v>
      </c>
      <c r="B55" s="7">
        <v>0</v>
      </c>
      <c r="C55" s="9">
        <v>0</v>
      </c>
    </row>
    <row r="56" spans="1:3" x14ac:dyDescent="0.25">
      <c r="A56" s="5" t="s">
        <v>59</v>
      </c>
      <c r="B56" s="4">
        <v>0</v>
      </c>
      <c r="C56" s="6">
        <v>0</v>
      </c>
    </row>
    <row r="57" spans="1:3" x14ac:dyDescent="0.25">
      <c r="A57" s="8" t="s">
        <v>60</v>
      </c>
      <c r="B57" s="7">
        <v>0</v>
      </c>
      <c r="C57" s="9">
        <v>0</v>
      </c>
    </row>
    <row r="58" spans="1:3" x14ac:dyDescent="0.25">
      <c r="A58" s="5" t="s">
        <v>61</v>
      </c>
      <c r="B58" s="4">
        <v>0</v>
      </c>
      <c r="C58" s="6">
        <v>0</v>
      </c>
    </row>
    <row r="59" spans="1:3" x14ac:dyDescent="0.25">
      <c r="A59" s="8" t="s">
        <v>62</v>
      </c>
      <c r="B59" s="7">
        <v>0</v>
      </c>
      <c r="C59" s="9">
        <v>0</v>
      </c>
    </row>
    <row r="60" spans="1:3" x14ac:dyDescent="0.25">
      <c r="A60" s="5" t="s">
        <v>63</v>
      </c>
      <c r="B60" s="4">
        <v>0</v>
      </c>
      <c r="C60" s="6">
        <v>0</v>
      </c>
    </row>
    <row r="61" spans="1:3" x14ac:dyDescent="0.25">
      <c r="A61" s="17"/>
      <c r="B61" s="18" t="s">
        <v>64</v>
      </c>
      <c r="C61" s="19">
        <f>SUM(C50:C60)</f>
        <v>0</v>
      </c>
    </row>
    <row r="63" spans="1:3" x14ac:dyDescent="0.25">
      <c r="A63" s="20" t="s">
        <v>65</v>
      </c>
      <c r="B63" s="21">
        <v>-1863334.044</v>
      </c>
    </row>
  </sheetData>
  <mergeCells count="6">
    <mergeCell ref="A48:C48"/>
    <mergeCell ref="A41:C41"/>
    <mergeCell ref="A37:C37"/>
    <mergeCell ref="A4:D4"/>
    <mergeCell ref="A1:E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66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10"/>
      <c r="B6" s="11" t="s">
        <v>34</v>
      </c>
      <c r="C6" s="12">
        <v>0</v>
      </c>
      <c r="D6" s="10"/>
    </row>
    <row r="8" spans="1:5" x14ac:dyDescent="0.25">
      <c r="A8" s="24" t="s">
        <v>35</v>
      </c>
      <c r="B8" s="25"/>
      <c r="C8" s="25"/>
      <c r="D8" s="25"/>
    </row>
    <row r="9" spans="1:5" x14ac:dyDescent="0.25">
      <c r="A9" s="3" t="s">
        <v>4</v>
      </c>
      <c r="B9" s="3" t="s">
        <v>36</v>
      </c>
      <c r="C9" s="3" t="s">
        <v>37</v>
      </c>
      <c r="D9" s="3" t="s">
        <v>38</v>
      </c>
    </row>
    <row r="10" spans="1:5" x14ac:dyDescent="0.25">
      <c r="A10" s="10"/>
      <c r="B10" s="10"/>
      <c r="C10" s="11" t="s">
        <v>39</v>
      </c>
      <c r="D10" s="12">
        <v>0</v>
      </c>
    </row>
    <row r="12" spans="1:5" x14ac:dyDescent="0.25">
      <c r="A12" s="24" t="s">
        <v>40</v>
      </c>
      <c r="B12" s="25"/>
      <c r="C12" s="25"/>
    </row>
    <row r="13" spans="1:5" x14ac:dyDescent="0.25">
      <c r="A13" s="3" t="s">
        <v>41</v>
      </c>
      <c r="B13" s="3" t="s">
        <v>42</v>
      </c>
      <c r="C13" s="3" t="s">
        <v>37</v>
      </c>
    </row>
    <row r="14" spans="1:5" x14ac:dyDescent="0.25">
      <c r="A14" s="10"/>
      <c r="B14" s="11" t="s">
        <v>43</v>
      </c>
      <c r="C14" s="12">
        <v>0</v>
      </c>
    </row>
    <row r="16" spans="1:5" x14ac:dyDescent="0.25">
      <c r="A16" s="24" t="s">
        <v>44</v>
      </c>
      <c r="B16" s="25"/>
      <c r="C16" s="25"/>
    </row>
    <row r="17" spans="1:3" x14ac:dyDescent="0.25">
      <c r="A17" s="13" t="s">
        <v>45</v>
      </c>
      <c r="B17" s="14">
        <v>0</v>
      </c>
    </row>
    <row r="18" spans="1:3" x14ac:dyDescent="0.25">
      <c r="A18" s="13" t="s">
        <v>46</v>
      </c>
      <c r="B18" s="14">
        <v>0</v>
      </c>
    </row>
    <row r="19" spans="1:3" x14ac:dyDescent="0.25">
      <c r="A19" s="13" t="s">
        <v>47</v>
      </c>
      <c r="B19" s="14">
        <v>0</v>
      </c>
    </row>
    <row r="20" spans="1:3" x14ac:dyDescent="0.25">
      <c r="A20" s="13" t="s">
        <v>48</v>
      </c>
      <c r="B20" s="14">
        <v>0</v>
      </c>
    </row>
    <row r="21" spans="1:3" ht="15.75" x14ac:dyDescent="0.25">
      <c r="A21" s="15" t="s">
        <v>49</v>
      </c>
      <c r="B21" s="16">
        <v>0</v>
      </c>
    </row>
    <row r="23" spans="1:3" x14ac:dyDescent="0.25">
      <c r="A23" s="28" t="s">
        <v>50</v>
      </c>
      <c r="B23" s="29"/>
      <c r="C23" s="29"/>
    </row>
    <row r="24" spans="1:3" x14ac:dyDescent="0.25">
      <c r="A24" s="3" t="s">
        <v>51</v>
      </c>
      <c r="B24" s="3" t="s">
        <v>52</v>
      </c>
      <c r="C24" s="3" t="s">
        <v>6</v>
      </c>
    </row>
    <row r="25" spans="1:3" x14ac:dyDescent="0.25">
      <c r="A25" s="5" t="s">
        <v>53</v>
      </c>
      <c r="B25" s="4">
        <v>0</v>
      </c>
      <c r="C25" s="6">
        <v>0</v>
      </c>
    </row>
    <row r="26" spans="1:3" x14ac:dyDescent="0.25">
      <c r="A26" s="8" t="s">
        <v>54</v>
      </c>
      <c r="B26" s="7">
        <v>0</v>
      </c>
      <c r="C26" s="9">
        <v>0</v>
      </c>
    </row>
    <row r="27" spans="1:3" x14ac:dyDescent="0.25">
      <c r="A27" s="5" t="s">
        <v>55</v>
      </c>
      <c r="B27" s="4">
        <v>0</v>
      </c>
      <c r="C27" s="6">
        <v>0</v>
      </c>
    </row>
    <row r="28" spans="1:3" x14ac:dyDescent="0.25">
      <c r="A28" s="8" t="s">
        <v>56</v>
      </c>
      <c r="B28" s="7">
        <v>0</v>
      </c>
      <c r="C28" s="9">
        <v>0</v>
      </c>
    </row>
    <row r="29" spans="1:3" x14ac:dyDescent="0.25">
      <c r="A29" s="5" t="s">
        <v>57</v>
      </c>
      <c r="B29" s="4">
        <v>0</v>
      </c>
      <c r="C29" s="6">
        <v>0</v>
      </c>
    </row>
    <row r="30" spans="1:3" x14ac:dyDescent="0.25">
      <c r="A30" s="8" t="s">
        <v>58</v>
      </c>
      <c r="B30" s="7">
        <v>0</v>
      </c>
      <c r="C30" s="9">
        <v>0</v>
      </c>
    </row>
    <row r="31" spans="1:3" x14ac:dyDescent="0.25">
      <c r="A31" s="5" t="s">
        <v>59</v>
      </c>
      <c r="B31" s="4">
        <v>0</v>
      </c>
      <c r="C31" s="6">
        <v>0</v>
      </c>
    </row>
    <row r="32" spans="1:3" x14ac:dyDescent="0.25">
      <c r="A32" s="8" t="s">
        <v>60</v>
      </c>
      <c r="B32" s="7">
        <v>0</v>
      </c>
      <c r="C32" s="9">
        <v>0</v>
      </c>
    </row>
    <row r="33" spans="1:3" x14ac:dyDescent="0.25">
      <c r="A33" s="5" t="s">
        <v>61</v>
      </c>
      <c r="B33" s="4">
        <v>0</v>
      </c>
      <c r="C33" s="6">
        <v>0</v>
      </c>
    </row>
    <row r="34" spans="1:3" x14ac:dyDescent="0.25">
      <c r="A34" s="8" t="s">
        <v>62</v>
      </c>
      <c r="B34" s="7">
        <v>0</v>
      </c>
      <c r="C34" s="9">
        <v>0</v>
      </c>
    </row>
    <row r="35" spans="1:3" x14ac:dyDescent="0.25">
      <c r="A35" s="5" t="s">
        <v>63</v>
      </c>
      <c r="B35" s="4">
        <v>0</v>
      </c>
      <c r="C35" s="6">
        <v>0</v>
      </c>
    </row>
    <row r="36" spans="1:3" x14ac:dyDescent="0.25">
      <c r="A36" s="17"/>
      <c r="B36" s="18" t="s">
        <v>64</v>
      </c>
      <c r="C36" s="19">
        <f>SUM(C25:C35)</f>
        <v>0</v>
      </c>
    </row>
    <row r="38" spans="1:3" x14ac:dyDescent="0.25">
      <c r="A38" s="20" t="s">
        <v>65</v>
      </c>
      <c r="B38" s="22">
        <v>0</v>
      </c>
      <c r="C38" s="23" t="s">
        <v>67</v>
      </c>
    </row>
  </sheetData>
  <mergeCells count="6">
    <mergeCell ref="A8:D8"/>
    <mergeCell ref="A23:C23"/>
    <mergeCell ref="A4:D4"/>
    <mergeCell ref="A1:E1"/>
    <mergeCell ref="A12:C1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68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10"/>
      <c r="B6" s="11" t="s">
        <v>34</v>
      </c>
      <c r="C6" s="12">
        <v>0</v>
      </c>
      <c r="D6" s="10"/>
    </row>
    <row r="8" spans="1:5" x14ac:dyDescent="0.25">
      <c r="A8" s="24" t="s">
        <v>35</v>
      </c>
      <c r="B8" s="25"/>
      <c r="C8" s="25"/>
      <c r="D8" s="25"/>
    </row>
    <row r="9" spans="1:5" x14ac:dyDescent="0.25">
      <c r="A9" s="3" t="s">
        <v>4</v>
      </c>
      <c r="B9" s="3" t="s">
        <v>36</v>
      </c>
      <c r="C9" s="3" t="s">
        <v>37</v>
      </c>
      <c r="D9" s="3" t="s">
        <v>38</v>
      </c>
    </row>
    <row r="10" spans="1:5" x14ac:dyDescent="0.25">
      <c r="A10" s="10"/>
      <c r="B10" s="10"/>
      <c r="C10" s="11" t="s">
        <v>39</v>
      </c>
      <c r="D10" s="12">
        <v>0</v>
      </c>
    </row>
    <row r="12" spans="1:5" x14ac:dyDescent="0.25">
      <c r="A12" s="24" t="s">
        <v>40</v>
      </c>
      <c r="B12" s="25"/>
      <c r="C12" s="25"/>
    </row>
    <row r="13" spans="1:5" x14ac:dyDescent="0.25">
      <c r="A13" s="3" t="s">
        <v>41</v>
      </c>
      <c r="B13" s="3" t="s">
        <v>42</v>
      </c>
      <c r="C13" s="3" t="s">
        <v>37</v>
      </c>
    </row>
    <row r="14" spans="1:5" x14ac:dyDescent="0.25">
      <c r="A14" s="10"/>
      <c r="B14" s="11" t="s">
        <v>43</v>
      </c>
      <c r="C14" s="12">
        <v>0</v>
      </c>
    </row>
    <row r="16" spans="1:5" x14ac:dyDescent="0.25">
      <c r="A16" s="24" t="s">
        <v>44</v>
      </c>
      <c r="B16" s="25"/>
      <c r="C16" s="25"/>
    </row>
    <row r="17" spans="1:3" x14ac:dyDescent="0.25">
      <c r="A17" s="13" t="s">
        <v>45</v>
      </c>
      <c r="B17" s="14">
        <v>0</v>
      </c>
    </row>
    <row r="18" spans="1:3" x14ac:dyDescent="0.25">
      <c r="A18" s="13" t="s">
        <v>46</v>
      </c>
      <c r="B18" s="14">
        <v>0</v>
      </c>
    </row>
    <row r="19" spans="1:3" x14ac:dyDescent="0.25">
      <c r="A19" s="13" t="s">
        <v>47</v>
      </c>
      <c r="B19" s="14">
        <v>0</v>
      </c>
    </row>
    <row r="20" spans="1:3" x14ac:dyDescent="0.25">
      <c r="A20" s="13" t="s">
        <v>48</v>
      </c>
      <c r="B20" s="14">
        <v>0</v>
      </c>
    </row>
    <row r="21" spans="1:3" ht="15.75" x14ac:dyDescent="0.25">
      <c r="A21" s="15" t="s">
        <v>49</v>
      </c>
      <c r="B21" s="16">
        <v>0</v>
      </c>
    </row>
    <row r="23" spans="1:3" x14ac:dyDescent="0.25">
      <c r="A23" s="28" t="s">
        <v>50</v>
      </c>
      <c r="B23" s="29"/>
      <c r="C23" s="29"/>
    </row>
    <row r="24" spans="1:3" x14ac:dyDescent="0.25">
      <c r="A24" s="3" t="s">
        <v>51</v>
      </c>
      <c r="B24" s="3" t="s">
        <v>52</v>
      </c>
      <c r="C24" s="3" t="s">
        <v>6</v>
      </c>
    </row>
    <row r="25" spans="1:3" x14ac:dyDescent="0.25">
      <c r="A25" s="5" t="s">
        <v>53</v>
      </c>
      <c r="B25" s="4">
        <v>0</v>
      </c>
      <c r="C25" s="6">
        <v>0</v>
      </c>
    </row>
    <row r="26" spans="1:3" x14ac:dyDescent="0.25">
      <c r="A26" s="8" t="s">
        <v>54</v>
      </c>
      <c r="B26" s="7">
        <v>0</v>
      </c>
      <c r="C26" s="9">
        <v>0</v>
      </c>
    </row>
    <row r="27" spans="1:3" x14ac:dyDescent="0.25">
      <c r="A27" s="5" t="s">
        <v>55</v>
      </c>
      <c r="B27" s="4">
        <v>0</v>
      </c>
      <c r="C27" s="6">
        <v>0</v>
      </c>
    </row>
    <row r="28" spans="1:3" x14ac:dyDescent="0.25">
      <c r="A28" s="8" t="s">
        <v>56</v>
      </c>
      <c r="B28" s="7">
        <v>0</v>
      </c>
      <c r="C28" s="9">
        <v>0</v>
      </c>
    </row>
    <row r="29" spans="1:3" x14ac:dyDescent="0.25">
      <c r="A29" s="5" t="s">
        <v>57</v>
      </c>
      <c r="B29" s="4">
        <v>0</v>
      </c>
      <c r="C29" s="6">
        <v>0</v>
      </c>
    </row>
    <row r="30" spans="1:3" x14ac:dyDescent="0.25">
      <c r="A30" s="8" t="s">
        <v>58</v>
      </c>
      <c r="B30" s="7">
        <v>0</v>
      </c>
      <c r="C30" s="9">
        <v>0</v>
      </c>
    </row>
    <row r="31" spans="1:3" x14ac:dyDescent="0.25">
      <c r="A31" s="5" t="s">
        <v>59</v>
      </c>
      <c r="B31" s="4">
        <v>0</v>
      </c>
      <c r="C31" s="6">
        <v>0</v>
      </c>
    </row>
    <row r="32" spans="1:3" x14ac:dyDescent="0.25">
      <c r="A32" s="8" t="s">
        <v>60</v>
      </c>
      <c r="B32" s="7">
        <v>0</v>
      </c>
      <c r="C32" s="9">
        <v>0</v>
      </c>
    </row>
    <row r="33" spans="1:3" x14ac:dyDescent="0.25">
      <c r="A33" s="5" t="s">
        <v>61</v>
      </c>
      <c r="B33" s="4">
        <v>0</v>
      </c>
      <c r="C33" s="6">
        <v>0</v>
      </c>
    </row>
    <row r="34" spans="1:3" x14ac:dyDescent="0.25">
      <c r="A34" s="8" t="s">
        <v>62</v>
      </c>
      <c r="B34" s="7">
        <v>0</v>
      </c>
      <c r="C34" s="9">
        <v>0</v>
      </c>
    </row>
    <row r="35" spans="1:3" x14ac:dyDescent="0.25">
      <c r="A35" s="5" t="s">
        <v>63</v>
      </c>
      <c r="B35" s="4">
        <v>0</v>
      </c>
      <c r="C35" s="6">
        <v>0</v>
      </c>
    </row>
    <row r="36" spans="1:3" x14ac:dyDescent="0.25">
      <c r="A36" s="17"/>
      <c r="B36" s="18" t="s">
        <v>64</v>
      </c>
      <c r="C36" s="19">
        <f>SUM(C25:C35)</f>
        <v>0</v>
      </c>
    </row>
    <row r="38" spans="1:3" x14ac:dyDescent="0.25">
      <c r="A38" s="20" t="s">
        <v>65</v>
      </c>
      <c r="B38" s="22">
        <v>0</v>
      </c>
      <c r="C38" s="23" t="s">
        <v>67</v>
      </c>
    </row>
  </sheetData>
  <mergeCells count="6">
    <mergeCell ref="A8:D8"/>
    <mergeCell ref="A23:C23"/>
    <mergeCell ref="A4:D4"/>
    <mergeCell ref="A1:E1"/>
    <mergeCell ref="A12:C1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topLeftCell="A61" workbookViewId="0">
      <selection sqref="A1:E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69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23047</v>
      </c>
      <c r="B6" s="5" t="s">
        <v>70</v>
      </c>
      <c r="C6" s="6">
        <v>133508.4</v>
      </c>
      <c r="D6" s="4" t="s">
        <v>9</v>
      </c>
    </row>
    <row r="7" spans="1:5" x14ac:dyDescent="0.25">
      <c r="A7" s="7">
        <v>23049</v>
      </c>
      <c r="B7" s="8" t="s">
        <v>71</v>
      </c>
      <c r="C7" s="9">
        <v>46400</v>
      </c>
      <c r="D7" s="7" t="s">
        <v>9</v>
      </c>
    </row>
    <row r="8" spans="1:5" x14ac:dyDescent="0.25">
      <c r="A8" s="4">
        <v>23050</v>
      </c>
      <c r="B8" s="5" t="s">
        <v>72</v>
      </c>
      <c r="C8" s="6">
        <v>48958.34</v>
      </c>
      <c r="D8" s="4" t="s">
        <v>9</v>
      </c>
    </row>
    <row r="9" spans="1:5" x14ac:dyDescent="0.25">
      <c r="A9" s="7">
        <v>23052</v>
      </c>
      <c r="B9" s="8" t="s">
        <v>73</v>
      </c>
      <c r="C9" s="9">
        <v>23700</v>
      </c>
      <c r="D9" s="7" t="s">
        <v>9</v>
      </c>
    </row>
    <row r="10" spans="1:5" x14ac:dyDescent="0.25">
      <c r="A10" s="4">
        <v>23053</v>
      </c>
      <c r="B10" s="5" t="s">
        <v>74</v>
      </c>
      <c r="C10" s="6">
        <v>122794.82</v>
      </c>
      <c r="D10" s="4" t="s">
        <v>9</v>
      </c>
    </row>
    <row r="11" spans="1:5" x14ac:dyDescent="0.25">
      <c r="A11" s="7">
        <v>23055</v>
      </c>
      <c r="B11" s="8" t="s">
        <v>75</v>
      </c>
      <c r="C11" s="9">
        <v>124707.1</v>
      </c>
      <c r="D11" s="7" t="s">
        <v>9</v>
      </c>
    </row>
    <row r="12" spans="1:5" x14ac:dyDescent="0.25">
      <c r="A12" s="4">
        <v>23056</v>
      </c>
      <c r="B12" s="5" t="s">
        <v>76</v>
      </c>
      <c r="C12" s="6">
        <v>105383.48</v>
      </c>
      <c r="D12" s="4" t="s">
        <v>9</v>
      </c>
    </row>
    <row r="13" spans="1:5" x14ac:dyDescent="0.25">
      <c r="A13" s="7">
        <v>23061</v>
      </c>
      <c r="B13" s="8" t="s">
        <v>77</v>
      </c>
      <c r="C13" s="9">
        <v>99258.34</v>
      </c>
      <c r="D13" s="7" t="s">
        <v>9</v>
      </c>
    </row>
    <row r="14" spans="1:5" x14ac:dyDescent="0.25">
      <c r="A14" s="4">
        <v>23062</v>
      </c>
      <c r="B14" s="5" t="s">
        <v>78</v>
      </c>
      <c r="C14" s="6">
        <v>80000</v>
      </c>
      <c r="D14" s="4" t="s">
        <v>9</v>
      </c>
    </row>
    <row r="15" spans="1:5" x14ac:dyDescent="0.25">
      <c r="A15" s="7">
        <v>23063</v>
      </c>
      <c r="B15" s="8" t="s">
        <v>79</v>
      </c>
      <c r="C15" s="9">
        <v>8415.8799999999992</v>
      </c>
      <c r="D15" s="7" t="s">
        <v>9</v>
      </c>
    </row>
    <row r="16" spans="1:5" x14ac:dyDescent="0.25">
      <c r="A16" s="4">
        <v>23064</v>
      </c>
      <c r="B16" s="5" t="s">
        <v>80</v>
      </c>
      <c r="C16" s="6">
        <v>48886.86</v>
      </c>
      <c r="D16" s="4" t="s">
        <v>9</v>
      </c>
    </row>
    <row r="17" spans="1:4" x14ac:dyDescent="0.25">
      <c r="A17" s="7">
        <v>23065</v>
      </c>
      <c r="B17" s="8" t="s">
        <v>81</v>
      </c>
      <c r="C17" s="9">
        <v>62979.45</v>
      </c>
      <c r="D17" s="7" t="s">
        <v>9</v>
      </c>
    </row>
    <row r="18" spans="1:4" x14ac:dyDescent="0.25">
      <c r="A18" s="4">
        <v>23066</v>
      </c>
      <c r="B18" s="5" t="s">
        <v>81</v>
      </c>
      <c r="C18" s="6">
        <v>60003.360000000001</v>
      </c>
      <c r="D18" s="4" t="s">
        <v>9</v>
      </c>
    </row>
    <row r="19" spans="1:4" x14ac:dyDescent="0.25">
      <c r="A19" s="7">
        <v>23067</v>
      </c>
      <c r="B19" s="8" t="s">
        <v>82</v>
      </c>
      <c r="C19" s="9">
        <v>52680.03</v>
      </c>
      <c r="D19" s="7" t="s">
        <v>9</v>
      </c>
    </row>
    <row r="20" spans="1:4" x14ac:dyDescent="0.25">
      <c r="A20" s="4">
        <v>23068</v>
      </c>
      <c r="B20" s="5" t="s">
        <v>83</v>
      </c>
      <c r="C20" s="6">
        <v>31155.7</v>
      </c>
      <c r="D20" s="4" t="s">
        <v>9</v>
      </c>
    </row>
    <row r="21" spans="1:4" x14ac:dyDescent="0.25">
      <c r="A21" s="7">
        <v>23069</v>
      </c>
      <c r="B21" s="8" t="s">
        <v>84</v>
      </c>
      <c r="C21" s="9">
        <v>32200.84</v>
      </c>
      <c r="D21" s="7" t="s">
        <v>9</v>
      </c>
    </row>
    <row r="22" spans="1:4" x14ac:dyDescent="0.25">
      <c r="A22" s="4">
        <v>23070</v>
      </c>
      <c r="B22" s="5" t="s">
        <v>85</v>
      </c>
      <c r="C22" s="6">
        <v>119576.59</v>
      </c>
      <c r="D22" s="4" t="s">
        <v>9</v>
      </c>
    </row>
    <row r="23" spans="1:4" x14ac:dyDescent="0.25">
      <c r="A23" s="7">
        <v>23071</v>
      </c>
      <c r="B23" s="8" t="s">
        <v>86</v>
      </c>
      <c r="C23" s="9">
        <v>84846.5</v>
      </c>
      <c r="D23" s="7" t="s">
        <v>9</v>
      </c>
    </row>
    <row r="24" spans="1:4" x14ac:dyDescent="0.25">
      <c r="A24" s="4">
        <v>23082</v>
      </c>
      <c r="B24" s="5" t="s">
        <v>87</v>
      </c>
      <c r="C24" s="6">
        <v>190050.1</v>
      </c>
      <c r="D24" s="4" t="s">
        <v>9</v>
      </c>
    </row>
    <row r="25" spans="1:4" x14ac:dyDescent="0.25">
      <c r="A25" s="7">
        <v>23083</v>
      </c>
      <c r="B25" s="8" t="s">
        <v>88</v>
      </c>
      <c r="C25" s="9">
        <v>45971.92</v>
      </c>
      <c r="D25" s="7" t="s">
        <v>9</v>
      </c>
    </row>
    <row r="26" spans="1:4" x14ac:dyDescent="0.25">
      <c r="A26" s="4">
        <v>23085</v>
      </c>
      <c r="B26" s="5" t="s">
        <v>89</v>
      </c>
      <c r="C26" s="6">
        <v>40381.58</v>
      </c>
      <c r="D26" s="4" t="s">
        <v>9</v>
      </c>
    </row>
    <row r="27" spans="1:4" x14ac:dyDescent="0.25">
      <c r="A27" s="7">
        <v>23096</v>
      </c>
      <c r="B27" s="8" t="s">
        <v>90</v>
      </c>
      <c r="C27" s="9">
        <v>36000</v>
      </c>
      <c r="D27" s="7" t="s">
        <v>9</v>
      </c>
    </row>
    <row r="28" spans="1:4" x14ac:dyDescent="0.25">
      <c r="A28" s="4">
        <v>23097</v>
      </c>
      <c r="B28" s="5" t="s">
        <v>91</v>
      </c>
      <c r="C28" s="6">
        <v>53508.4</v>
      </c>
      <c r="D28" s="4" t="s">
        <v>9</v>
      </c>
    </row>
    <row r="29" spans="1:4" x14ac:dyDescent="0.25">
      <c r="A29" s="7">
        <v>23098</v>
      </c>
      <c r="B29" s="8" t="s">
        <v>92</v>
      </c>
      <c r="C29" s="9">
        <v>61064.73</v>
      </c>
      <c r="D29" s="7" t="s">
        <v>9</v>
      </c>
    </row>
    <row r="30" spans="1:4" x14ac:dyDescent="0.25">
      <c r="A30" s="4">
        <v>23103</v>
      </c>
      <c r="B30" s="5" t="s">
        <v>93</v>
      </c>
      <c r="C30" s="6">
        <v>74287.199999999997</v>
      </c>
      <c r="D30" s="4" t="s">
        <v>9</v>
      </c>
    </row>
    <row r="31" spans="1:4" x14ac:dyDescent="0.25">
      <c r="A31" s="7">
        <v>23105</v>
      </c>
      <c r="B31" s="8" t="s">
        <v>94</v>
      </c>
      <c r="C31" s="9">
        <v>58166.5</v>
      </c>
      <c r="D31" s="7" t="s">
        <v>9</v>
      </c>
    </row>
    <row r="32" spans="1:4" x14ac:dyDescent="0.25">
      <c r="A32" s="4">
        <v>23112</v>
      </c>
      <c r="B32" s="5" t="s">
        <v>95</v>
      </c>
      <c r="C32" s="6">
        <v>32500.39</v>
      </c>
      <c r="D32" s="4" t="s">
        <v>9</v>
      </c>
    </row>
    <row r="33" spans="1:4" x14ac:dyDescent="0.25">
      <c r="A33" s="7">
        <v>23113</v>
      </c>
      <c r="B33" s="8" t="s">
        <v>87</v>
      </c>
      <c r="C33" s="9">
        <v>65000.78</v>
      </c>
      <c r="D33" s="7" t="s">
        <v>9</v>
      </c>
    </row>
    <row r="34" spans="1:4" x14ac:dyDescent="0.25">
      <c r="A34" s="4">
        <v>23114</v>
      </c>
      <c r="B34" s="5" t="s">
        <v>77</v>
      </c>
      <c r="C34" s="6">
        <v>32500.39</v>
      </c>
      <c r="D34" s="4" t="s">
        <v>9</v>
      </c>
    </row>
    <row r="35" spans="1:4" x14ac:dyDescent="0.25">
      <c r="A35" s="7">
        <v>23118</v>
      </c>
      <c r="B35" s="8" t="s">
        <v>96</v>
      </c>
      <c r="C35" s="9">
        <v>295400.02600000001</v>
      </c>
      <c r="D35" s="7" t="s">
        <v>9</v>
      </c>
    </row>
    <row r="36" spans="1:4" x14ac:dyDescent="0.25">
      <c r="A36" s="10"/>
      <c r="B36" s="11" t="s">
        <v>34</v>
      </c>
      <c r="C36" s="12">
        <f>SUM(C6:C35)</f>
        <v>2270287.7059999998</v>
      </c>
      <c r="D36" s="10"/>
    </row>
    <row r="38" spans="1:4" x14ac:dyDescent="0.25">
      <c r="A38" s="24" t="s">
        <v>35</v>
      </c>
      <c r="B38" s="25"/>
      <c r="C38" s="25"/>
      <c r="D38" s="25"/>
    </row>
    <row r="39" spans="1:4" x14ac:dyDescent="0.25">
      <c r="A39" s="3" t="s">
        <v>4</v>
      </c>
      <c r="B39" s="3" t="s">
        <v>36</v>
      </c>
      <c r="C39" s="3" t="s">
        <v>37</v>
      </c>
      <c r="D39" s="3" t="s">
        <v>38</v>
      </c>
    </row>
    <row r="40" spans="1:4" x14ac:dyDescent="0.25">
      <c r="A40" s="4" t="s">
        <v>97</v>
      </c>
      <c r="B40" s="4" t="s">
        <v>98</v>
      </c>
      <c r="C40" s="6">
        <v>295400</v>
      </c>
      <c r="D40" s="5" t="s">
        <v>99</v>
      </c>
    </row>
    <row r="41" spans="1:4" x14ac:dyDescent="0.25">
      <c r="A41" s="7" t="s">
        <v>100</v>
      </c>
      <c r="B41" s="7" t="s">
        <v>98</v>
      </c>
      <c r="C41" s="9">
        <v>32200</v>
      </c>
      <c r="D41" s="8" t="s">
        <v>99</v>
      </c>
    </row>
    <row r="42" spans="1:4" x14ac:dyDescent="0.25">
      <c r="A42" s="4" t="s">
        <v>101</v>
      </c>
      <c r="B42" s="4" t="s">
        <v>98</v>
      </c>
      <c r="C42" s="6">
        <v>32500</v>
      </c>
      <c r="D42" s="5" t="s">
        <v>102</v>
      </c>
    </row>
    <row r="43" spans="1:4" x14ac:dyDescent="0.25">
      <c r="A43" s="7" t="s">
        <v>103</v>
      </c>
      <c r="B43" s="7" t="s">
        <v>104</v>
      </c>
      <c r="C43" s="9">
        <v>4000</v>
      </c>
      <c r="D43" s="8" t="s">
        <v>105</v>
      </c>
    </row>
    <row r="44" spans="1:4" x14ac:dyDescent="0.25">
      <c r="A44" s="4" t="s">
        <v>106</v>
      </c>
      <c r="B44" s="4" t="s">
        <v>104</v>
      </c>
      <c r="C44" s="6">
        <v>12500</v>
      </c>
      <c r="D44" s="5" t="s">
        <v>107</v>
      </c>
    </row>
    <row r="45" spans="1:4" x14ac:dyDescent="0.25">
      <c r="A45" s="10"/>
      <c r="B45" s="10"/>
      <c r="C45" s="11" t="s">
        <v>39</v>
      </c>
      <c r="D45" s="12">
        <f>SUM(C40:C44)</f>
        <v>376600</v>
      </c>
    </row>
    <row r="47" spans="1:4" x14ac:dyDescent="0.25">
      <c r="A47" s="24" t="s">
        <v>40</v>
      </c>
      <c r="B47" s="25"/>
      <c r="C47" s="25"/>
    </row>
    <row r="48" spans="1:4" x14ac:dyDescent="0.25">
      <c r="A48" s="3" t="s">
        <v>41</v>
      </c>
      <c r="B48" s="3" t="s">
        <v>42</v>
      </c>
      <c r="C48" s="3" t="s">
        <v>37</v>
      </c>
    </row>
    <row r="49" spans="1:3" x14ac:dyDescent="0.25">
      <c r="A49" s="4">
        <v>1</v>
      </c>
      <c r="B49" s="5" t="s">
        <v>108</v>
      </c>
      <c r="C49" s="6">
        <v>180000</v>
      </c>
    </row>
    <row r="50" spans="1:3" x14ac:dyDescent="0.25">
      <c r="A50" s="7">
        <v>2</v>
      </c>
      <c r="B50" s="8" t="s">
        <v>109</v>
      </c>
      <c r="C50" s="9">
        <v>125000</v>
      </c>
    </row>
    <row r="51" spans="1:3" x14ac:dyDescent="0.25">
      <c r="A51" s="4">
        <v>3</v>
      </c>
      <c r="B51" s="5" t="s">
        <v>110</v>
      </c>
      <c r="C51" s="6">
        <v>600000</v>
      </c>
    </row>
    <row r="52" spans="1:3" x14ac:dyDescent="0.25">
      <c r="A52" s="7">
        <v>4</v>
      </c>
      <c r="B52" s="8" t="s">
        <v>111</v>
      </c>
      <c r="C52" s="9">
        <v>35000</v>
      </c>
    </row>
    <row r="53" spans="1:3" x14ac:dyDescent="0.25">
      <c r="A53" s="4">
        <v>5</v>
      </c>
      <c r="B53" s="5" t="s">
        <v>112</v>
      </c>
      <c r="C53" s="6">
        <v>20000</v>
      </c>
    </row>
    <row r="54" spans="1:3" x14ac:dyDescent="0.25">
      <c r="A54" s="7">
        <v>6</v>
      </c>
      <c r="B54" s="8" t="s">
        <v>113</v>
      </c>
      <c r="C54" s="9">
        <v>1000000</v>
      </c>
    </row>
    <row r="55" spans="1:3" x14ac:dyDescent="0.25">
      <c r="A55" s="10"/>
      <c r="B55" s="11" t="s">
        <v>43</v>
      </c>
      <c r="C55" s="12">
        <f>SUM(C49:C54)</f>
        <v>1960000</v>
      </c>
    </row>
    <row r="57" spans="1:3" x14ac:dyDescent="0.25">
      <c r="A57" s="24" t="s">
        <v>44</v>
      </c>
      <c r="B57" s="25"/>
      <c r="C57" s="25"/>
    </row>
    <row r="58" spans="1:3" x14ac:dyDescent="0.25">
      <c r="A58" s="13" t="s">
        <v>45</v>
      </c>
      <c r="B58" s="14">
        <v>2270287.7059999998</v>
      </c>
    </row>
    <row r="59" spans="1:3" x14ac:dyDescent="0.25">
      <c r="A59" s="13" t="s">
        <v>46</v>
      </c>
      <c r="B59" s="14">
        <v>376600</v>
      </c>
    </row>
    <row r="60" spans="1:3" x14ac:dyDescent="0.25">
      <c r="A60" s="13" t="s">
        <v>47</v>
      </c>
      <c r="B60" s="14">
        <v>1960000</v>
      </c>
    </row>
    <row r="61" spans="1:3" x14ac:dyDescent="0.25">
      <c r="A61" s="13" t="s">
        <v>48</v>
      </c>
      <c r="B61" s="14">
        <v>2336600</v>
      </c>
    </row>
    <row r="62" spans="1:3" ht="15.75" x14ac:dyDescent="0.25">
      <c r="A62" s="15" t="s">
        <v>49</v>
      </c>
      <c r="B62" s="16">
        <v>-66312.293999999762</v>
      </c>
    </row>
    <row r="64" spans="1:3" x14ac:dyDescent="0.25">
      <c r="A64" s="28" t="s">
        <v>50</v>
      </c>
      <c r="B64" s="29"/>
      <c r="C64" s="29"/>
    </row>
    <row r="65" spans="1:3" x14ac:dyDescent="0.25">
      <c r="A65" s="3" t="s">
        <v>51</v>
      </c>
      <c r="B65" s="3" t="s">
        <v>52</v>
      </c>
      <c r="C65" s="3" t="s">
        <v>6</v>
      </c>
    </row>
    <row r="66" spans="1:3" x14ac:dyDescent="0.25">
      <c r="A66" s="5" t="s">
        <v>53</v>
      </c>
      <c r="B66" s="4">
        <v>0</v>
      </c>
      <c r="C66" s="6">
        <v>0</v>
      </c>
    </row>
    <row r="67" spans="1:3" x14ac:dyDescent="0.25">
      <c r="A67" s="8" t="s">
        <v>54</v>
      </c>
      <c r="B67" s="7">
        <v>0</v>
      </c>
      <c r="C67" s="9">
        <v>0</v>
      </c>
    </row>
    <row r="68" spans="1:3" x14ac:dyDescent="0.25">
      <c r="A68" s="5" t="s">
        <v>55</v>
      </c>
      <c r="B68" s="4">
        <v>13</v>
      </c>
      <c r="C68" s="6">
        <v>260000</v>
      </c>
    </row>
    <row r="69" spans="1:3" x14ac:dyDescent="0.25">
      <c r="A69" s="8" t="s">
        <v>56</v>
      </c>
      <c r="B69" s="7">
        <v>10</v>
      </c>
      <c r="C69" s="9">
        <v>100000</v>
      </c>
    </row>
    <row r="70" spans="1:3" x14ac:dyDescent="0.25">
      <c r="A70" s="5" t="s">
        <v>57</v>
      </c>
      <c r="B70" s="4">
        <v>2</v>
      </c>
      <c r="C70" s="6">
        <v>10000</v>
      </c>
    </row>
    <row r="71" spans="1:3" x14ac:dyDescent="0.25">
      <c r="A71" s="8" t="s">
        <v>58</v>
      </c>
      <c r="B71" s="7">
        <v>14</v>
      </c>
      <c r="C71" s="9">
        <v>28000</v>
      </c>
    </row>
    <row r="72" spans="1:3" x14ac:dyDescent="0.25">
      <c r="A72" s="5" t="s">
        <v>59</v>
      </c>
      <c r="B72" s="4">
        <v>6</v>
      </c>
      <c r="C72" s="6">
        <v>6000</v>
      </c>
    </row>
    <row r="73" spans="1:3" x14ac:dyDescent="0.25">
      <c r="A73" s="8" t="s">
        <v>60</v>
      </c>
      <c r="B73" s="7">
        <v>12</v>
      </c>
      <c r="C73" s="9">
        <v>6000</v>
      </c>
    </row>
    <row r="74" spans="1:3" x14ac:dyDescent="0.25">
      <c r="A74" s="5" t="s">
        <v>61</v>
      </c>
      <c r="B74" s="4">
        <v>23</v>
      </c>
      <c r="C74" s="6">
        <v>4600</v>
      </c>
    </row>
    <row r="75" spans="1:3" x14ac:dyDescent="0.25">
      <c r="A75" s="8" t="s">
        <v>62</v>
      </c>
      <c r="B75" s="7">
        <v>107</v>
      </c>
      <c r="C75" s="9">
        <v>10700</v>
      </c>
    </row>
    <row r="76" spans="1:3" x14ac:dyDescent="0.25">
      <c r="A76" s="5" t="s">
        <v>63</v>
      </c>
      <c r="B76" s="4">
        <v>3</v>
      </c>
      <c r="C76" s="6">
        <v>150</v>
      </c>
    </row>
    <row r="77" spans="1:3" x14ac:dyDescent="0.25">
      <c r="A77" s="17"/>
      <c r="B77" s="18" t="s">
        <v>64</v>
      </c>
      <c r="C77" s="19">
        <f>SUM(C66:C76)</f>
        <v>425450</v>
      </c>
    </row>
    <row r="79" spans="1:3" x14ac:dyDescent="0.25">
      <c r="A79" s="20" t="s">
        <v>65</v>
      </c>
      <c r="B79" s="21">
        <v>491762.29399999982</v>
      </c>
    </row>
  </sheetData>
  <mergeCells count="6">
    <mergeCell ref="A64:C64"/>
    <mergeCell ref="A47:C47"/>
    <mergeCell ref="A4:D4"/>
    <mergeCell ref="A38:D38"/>
    <mergeCell ref="A1:E1"/>
    <mergeCell ref="A57:C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/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114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23058</v>
      </c>
      <c r="B6" s="5" t="s">
        <v>115</v>
      </c>
      <c r="C6" s="6">
        <v>1446379.2</v>
      </c>
      <c r="D6" s="4" t="s">
        <v>9</v>
      </c>
    </row>
    <row r="7" spans="1:5" x14ac:dyDescent="0.25">
      <c r="A7" s="7">
        <v>23086</v>
      </c>
      <c r="B7" s="8" t="s">
        <v>116</v>
      </c>
      <c r="C7" s="9">
        <v>34800</v>
      </c>
      <c r="D7" s="7" t="s">
        <v>9</v>
      </c>
    </row>
    <row r="8" spans="1:5" x14ac:dyDescent="0.25">
      <c r="A8" s="4">
        <v>23087</v>
      </c>
      <c r="B8" s="5" t="s">
        <v>117</v>
      </c>
      <c r="C8" s="6">
        <v>26701.68</v>
      </c>
      <c r="D8" s="4" t="s">
        <v>9</v>
      </c>
    </row>
    <row r="9" spans="1:5" x14ac:dyDescent="0.25">
      <c r="A9" s="7">
        <v>23088</v>
      </c>
      <c r="B9" s="8" t="s">
        <v>118</v>
      </c>
      <c r="C9" s="9">
        <v>53508.4</v>
      </c>
      <c r="D9" s="7" t="s">
        <v>9</v>
      </c>
    </row>
    <row r="10" spans="1:5" x14ac:dyDescent="0.25">
      <c r="A10" s="4">
        <v>23089</v>
      </c>
      <c r="B10" s="5" t="s">
        <v>119</v>
      </c>
      <c r="C10" s="6">
        <v>24000</v>
      </c>
      <c r="D10" s="4" t="s">
        <v>9</v>
      </c>
    </row>
    <row r="11" spans="1:5" x14ac:dyDescent="0.25">
      <c r="A11" s="7">
        <v>23092</v>
      </c>
      <c r="B11" s="8" t="s">
        <v>120</v>
      </c>
      <c r="C11" s="9">
        <v>125832.94</v>
      </c>
      <c r="D11" s="7" t="s">
        <v>9</v>
      </c>
    </row>
    <row r="12" spans="1:5" x14ac:dyDescent="0.25">
      <c r="A12" s="10"/>
      <c r="B12" s="11" t="s">
        <v>34</v>
      </c>
      <c r="C12" s="12">
        <f>SUM(C6:C11)</f>
        <v>1711222.2199999997</v>
      </c>
      <c r="D12" s="10"/>
    </row>
    <row r="14" spans="1:5" x14ac:dyDescent="0.25">
      <c r="A14" s="24" t="s">
        <v>35</v>
      </c>
      <c r="B14" s="25"/>
      <c r="C14" s="25"/>
      <c r="D14" s="25"/>
    </row>
    <row r="15" spans="1:5" x14ac:dyDescent="0.25">
      <c r="A15" s="3" t="s">
        <v>4</v>
      </c>
      <c r="B15" s="3" t="s">
        <v>36</v>
      </c>
      <c r="C15" s="3" t="s">
        <v>37</v>
      </c>
      <c r="D15" s="3" t="s">
        <v>38</v>
      </c>
    </row>
    <row r="16" spans="1:5" x14ac:dyDescent="0.25">
      <c r="A16" s="10"/>
      <c r="B16" s="10"/>
      <c r="C16" s="11" t="s">
        <v>39</v>
      </c>
      <c r="D16" s="12">
        <v>0</v>
      </c>
    </row>
    <row r="18" spans="1:3" x14ac:dyDescent="0.25">
      <c r="A18" s="24" t="s">
        <v>40</v>
      </c>
      <c r="B18" s="25"/>
      <c r="C18" s="25"/>
    </row>
    <row r="19" spans="1:3" x14ac:dyDescent="0.25">
      <c r="A19" s="3" t="s">
        <v>41</v>
      </c>
      <c r="B19" s="3" t="s">
        <v>42</v>
      </c>
      <c r="C19" s="3" t="s">
        <v>37</v>
      </c>
    </row>
    <row r="20" spans="1:3" x14ac:dyDescent="0.25">
      <c r="A20" s="10"/>
      <c r="B20" s="11" t="s">
        <v>43</v>
      </c>
      <c r="C20" s="12">
        <v>0</v>
      </c>
    </row>
    <row r="22" spans="1:3" x14ac:dyDescent="0.25">
      <c r="A22" s="24" t="s">
        <v>44</v>
      </c>
      <c r="B22" s="25"/>
      <c r="C22" s="25"/>
    </row>
    <row r="23" spans="1:3" x14ac:dyDescent="0.25">
      <c r="A23" s="13" t="s">
        <v>45</v>
      </c>
      <c r="B23" s="14">
        <v>1711222.22</v>
      </c>
    </row>
    <row r="24" spans="1:3" x14ac:dyDescent="0.25">
      <c r="A24" s="13" t="s">
        <v>46</v>
      </c>
      <c r="B24" s="14">
        <v>0</v>
      </c>
    </row>
    <row r="25" spans="1:3" x14ac:dyDescent="0.25">
      <c r="A25" s="13" t="s">
        <v>47</v>
      </c>
      <c r="B25" s="14">
        <v>0</v>
      </c>
    </row>
    <row r="26" spans="1:3" x14ac:dyDescent="0.25">
      <c r="A26" s="13" t="s">
        <v>48</v>
      </c>
      <c r="B26" s="14">
        <v>0</v>
      </c>
    </row>
    <row r="27" spans="1:3" ht="15.75" x14ac:dyDescent="0.25">
      <c r="A27" s="15" t="s">
        <v>49</v>
      </c>
      <c r="B27" s="16">
        <v>1711222.22</v>
      </c>
    </row>
    <row r="29" spans="1:3" x14ac:dyDescent="0.25">
      <c r="A29" s="28" t="s">
        <v>50</v>
      </c>
      <c r="B29" s="29"/>
      <c r="C29" s="29"/>
    </row>
    <row r="30" spans="1:3" x14ac:dyDescent="0.25">
      <c r="A30" s="3" t="s">
        <v>51</v>
      </c>
      <c r="B30" s="3" t="s">
        <v>52</v>
      </c>
      <c r="C30" s="3" t="s">
        <v>6</v>
      </c>
    </row>
    <row r="31" spans="1:3" x14ac:dyDescent="0.25">
      <c r="A31" s="5" t="s">
        <v>53</v>
      </c>
      <c r="B31" s="4">
        <v>0</v>
      </c>
      <c r="C31" s="6">
        <v>0</v>
      </c>
    </row>
    <row r="32" spans="1:3" x14ac:dyDescent="0.25">
      <c r="A32" s="8" t="s">
        <v>54</v>
      </c>
      <c r="B32" s="7">
        <v>0</v>
      </c>
      <c r="C32" s="9">
        <v>0</v>
      </c>
    </row>
    <row r="33" spans="1:3" x14ac:dyDescent="0.25">
      <c r="A33" s="5" t="s">
        <v>55</v>
      </c>
      <c r="B33" s="4">
        <v>0</v>
      </c>
      <c r="C33" s="6">
        <v>0</v>
      </c>
    </row>
    <row r="34" spans="1:3" x14ac:dyDescent="0.25">
      <c r="A34" s="8" t="s">
        <v>56</v>
      </c>
      <c r="B34" s="7">
        <v>0</v>
      </c>
      <c r="C34" s="9">
        <v>0</v>
      </c>
    </row>
    <row r="35" spans="1:3" x14ac:dyDescent="0.25">
      <c r="A35" s="5" t="s">
        <v>57</v>
      </c>
      <c r="B35" s="4">
        <v>0</v>
      </c>
      <c r="C35" s="6">
        <v>0</v>
      </c>
    </row>
    <row r="36" spans="1:3" x14ac:dyDescent="0.25">
      <c r="A36" s="8" t="s">
        <v>58</v>
      </c>
      <c r="B36" s="7">
        <v>0</v>
      </c>
      <c r="C36" s="9">
        <v>0</v>
      </c>
    </row>
    <row r="37" spans="1:3" x14ac:dyDescent="0.25">
      <c r="A37" s="5" t="s">
        <v>59</v>
      </c>
      <c r="B37" s="4">
        <v>0</v>
      </c>
      <c r="C37" s="6">
        <v>0</v>
      </c>
    </row>
    <row r="38" spans="1:3" x14ac:dyDescent="0.25">
      <c r="A38" s="8" t="s">
        <v>60</v>
      </c>
      <c r="B38" s="7">
        <v>0</v>
      </c>
      <c r="C38" s="9">
        <v>0</v>
      </c>
    </row>
    <row r="39" spans="1:3" x14ac:dyDescent="0.25">
      <c r="A39" s="5" t="s">
        <v>61</v>
      </c>
      <c r="B39" s="4">
        <v>0</v>
      </c>
      <c r="C39" s="6">
        <v>0</v>
      </c>
    </row>
    <row r="40" spans="1:3" x14ac:dyDescent="0.25">
      <c r="A40" s="8" t="s">
        <v>62</v>
      </c>
      <c r="B40" s="7">
        <v>0</v>
      </c>
      <c r="C40" s="9">
        <v>0</v>
      </c>
    </row>
    <row r="41" spans="1:3" x14ac:dyDescent="0.25">
      <c r="A41" s="5" t="s">
        <v>63</v>
      </c>
      <c r="B41" s="4">
        <v>0</v>
      </c>
      <c r="C41" s="6">
        <v>0</v>
      </c>
    </row>
    <row r="42" spans="1:3" x14ac:dyDescent="0.25">
      <c r="A42" s="17"/>
      <c r="B42" s="18" t="s">
        <v>64</v>
      </c>
      <c r="C42" s="19">
        <f>SUM(C31:C41)</f>
        <v>0</v>
      </c>
    </row>
    <row r="44" spans="1:3" x14ac:dyDescent="0.25">
      <c r="A44" s="20" t="s">
        <v>65</v>
      </c>
      <c r="B44" s="21">
        <v>-1711222.22</v>
      </c>
    </row>
  </sheetData>
  <mergeCells count="6">
    <mergeCell ref="A4:D4"/>
    <mergeCell ref="A22:C22"/>
    <mergeCell ref="A18:C18"/>
    <mergeCell ref="A1:E1"/>
    <mergeCell ref="A29:C29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121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4" t="s">
        <v>3</v>
      </c>
      <c r="B4" s="25"/>
      <c r="C4" s="25"/>
      <c r="D4" s="25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10"/>
      <c r="B6" s="11" t="s">
        <v>34</v>
      </c>
      <c r="C6" s="12">
        <v>0</v>
      </c>
      <c r="D6" s="10"/>
    </row>
    <row r="8" spans="1:5" x14ac:dyDescent="0.25">
      <c r="A8" s="24" t="s">
        <v>35</v>
      </c>
      <c r="B8" s="25"/>
      <c r="C8" s="25"/>
      <c r="D8" s="25"/>
    </row>
    <row r="9" spans="1:5" x14ac:dyDescent="0.25">
      <c r="A9" s="3" t="s">
        <v>4</v>
      </c>
      <c r="B9" s="3" t="s">
        <v>36</v>
      </c>
      <c r="C9" s="3" t="s">
        <v>37</v>
      </c>
      <c r="D9" s="3" t="s">
        <v>38</v>
      </c>
    </row>
    <row r="10" spans="1:5" x14ac:dyDescent="0.25">
      <c r="A10" s="10"/>
      <c r="B10" s="10"/>
      <c r="C10" s="11" t="s">
        <v>39</v>
      </c>
      <c r="D10" s="12">
        <v>0</v>
      </c>
    </row>
    <row r="12" spans="1:5" x14ac:dyDescent="0.25">
      <c r="A12" s="24" t="s">
        <v>40</v>
      </c>
      <c r="B12" s="25"/>
      <c r="C12" s="25"/>
    </row>
    <row r="13" spans="1:5" x14ac:dyDescent="0.25">
      <c r="A13" s="3" t="s">
        <v>41</v>
      </c>
      <c r="B13" s="3" t="s">
        <v>42</v>
      </c>
      <c r="C13" s="3" t="s">
        <v>37</v>
      </c>
    </row>
    <row r="14" spans="1:5" x14ac:dyDescent="0.25">
      <c r="A14" s="10"/>
      <c r="B14" s="11" t="s">
        <v>43</v>
      </c>
      <c r="C14" s="12">
        <v>0</v>
      </c>
    </row>
    <row r="16" spans="1:5" x14ac:dyDescent="0.25">
      <c r="A16" s="24" t="s">
        <v>44</v>
      </c>
      <c r="B16" s="25"/>
      <c r="C16" s="25"/>
    </row>
    <row r="17" spans="1:3" x14ac:dyDescent="0.25">
      <c r="A17" s="13" t="s">
        <v>45</v>
      </c>
      <c r="B17" s="14">
        <v>0</v>
      </c>
    </row>
    <row r="18" spans="1:3" x14ac:dyDescent="0.25">
      <c r="A18" s="13" t="s">
        <v>46</v>
      </c>
      <c r="B18" s="14">
        <v>0</v>
      </c>
    </row>
    <row r="19" spans="1:3" x14ac:dyDescent="0.25">
      <c r="A19" s="13" t="s">
        <v>47</v>
      </c>
      <c r="B19" s="14">
        <v>0</v>
      </c>
    </row>
    <row r="20" spans="1:3" x14ac:dyDescent="0.25">
      <c r="A20" s="13" t="s">
        <v>48</v>
      </c>
      <c r="B20" s="14">
        <v>0</v>
      </c>
    </row>
    <row r="21" spans="1:3" ht="15.75" x14ac:dyDescent="0.25">
      <c r="A21" s="15" t="s">
        <v>49</v>
      </c>
      <c r="B21" s="16">
        <v>0</v>
      </c>
    </row>
    <row r="23" spans="1:3" x14ac:dyDescent="0.25">
      <c r="A23" s="28" t="s">
        <v>50</v>
      </c>
      <c r="B23" s="29"/>
      <c r="C23" s="29"/>
    </row>
    <row r="24" spans="1:3" x14ac:dyDescent="0.25">
      <c r="A24" s="3" t="s">
        <v>51</v>
      </c>
      <c r="B24" s="3" t="s">
        <v>52</v>
      </c>
      <c r="C24" s="3" t="s">
        <v>6</v>
      </c>
    </row>
    <row r="25" spans="1:3" x14ac:dyDescent="0.25">
      <c r="A25" s="5" t="s">
        <v>53</v>
      </c>
      <c r="B25" s="4">
        <v>0</v>
      </c>
      <c r="C25" s="6">
        <v>0</v>
      </c>
    </row>
    <row r="26" spans="1:3" x14ac:dyDescent="0.25">
      <c r="A26" s="8" t="s">
        <v>54</v>
      </c>
      <c r="B26" s="7">
        <v>0</v>
      </c>
      <c r="C26" s="9">
        <v>0</v>
      </c>
    </row>
    <row r="27" spans="1:3" x14ac:dyDescent="0.25">
      <c r="A27" s="5" t="s">
        <v>55</v>
      </c>
      <c r="B27" s="4">
        <v>0</v>
      </c>
      <c r="C27" s="6">
        <v>0</v>
      </c>
    </row>
    <row r="28" spans="1:3" x14ac:dyDescent="0.25">
      <c r="A28" s="8" t="s">
        <v>56</v>
      </c>
      <c r="B28" s="7">
        <v>0</v>
      </c>
      <c r="C28" s="9">
        <v>0</v>
      </c>
    </row>
    <row r="29" spans="1:3" x14ac:dyDescent="0.25">
      <c r="A29" s="5" t="s">
        <v>57</v>
      </c>
      <c r="B29" s="4">
        <v>0</v>
      </c>
      <c r="C29" s="6">
        <v>0</v>
      </c>
    </row>
    <row r="30" spans="1:3" x14ac:dyDescent="0.25">
      <c r="A30" s="8" t="s">
        <v>58</v>
      </c>
      <c r="B30" s="7">
        <v>0</v>
      </c>
      <c r="C30" s="9">
        <v>0</v>
      </c>
    </row>
    <row r="31" spans="1:3" x14ac:dyDescent="0.25">
      <c r="A31" s="5" t="s">
        <v>59</v>
      </c>
      <c r="B31" s="4">
        <v>0</v>
      </c>
      <c r="C31" s="6">
        <v>0</v>
      </c>
    </row>
    <row r="32" spans="1:3" x14ac:dyDescent="0.25">
      <c r="A32" s="8" t="s">
        <v>60</v>
      </c>
      <c r="B32" s="7">
        <v>0</v>
      </c>
      <c r="C32" s="9">
        <v>0</v>
      </c>
    </row>
    <row r="33" spans="1:3" x14ac:dyDescent="0.25">
      <c r="A33" s="5" t="s">
        <v>61</v>
      </c>
      <c r="B33" s="4">
        <v>0</v>
      </c>
      <c r="C33" s="6">
        <v>0</v>
      </c>
    </row>
    <row r="34" spans="1:3" x14ac:dyDescent="0.25">
      <c r="A34" s="8" t="s">
        <v>62</v>
      </c>
      <c r="B34" s="7">
        <v>0</v>
      </c>
      <c r="C34" s="9">
        <v>0</v>
      </c>
    </row>
    <row r="35" spans="1:3" x14ac:dyDescent="0.25">
      <c r="A35" s="5" t="s">
        <v>63</v>
      </c>
      <c r="B35" s="4">
        <v>0</v>
      </c>
      <c r="C35" s="6">
        <v>0</v>
      </c>
    </row>
    <row r="36" spans="1:3" x14ac:dyDescent="0.25">
      <c r="A36" s="17"/>
      <c r="B36" s="18" t="s">
        <v>64</v>
      </c>
      <c r="C36" s="19">
        <f>SUM(C25:C35)</f>
        <v>0</v>
      </c>
    </row>
    <row r="38" spans="1:3" x14ac:dyDescent="0.25">
      <c r="A38" s="20" t="s">
        <v>65</v>
      </c>
      <c r="B38" s="22">
        <v>0</v>
      </c>
      <c r="C38" s="23" t="s">
        <v>67</v>
      </c>
    </row>
  </sheetData>
  <mergeCells count="6">
    <mergeCell ref="A8:D8"/>
    <mergeCell ref="A23:C23"/>
    <mergeCell ref="A4:D4"/>
    <mergeCell ref="A1:E1"/>
    <mergeCell ref="A12:C1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CRISTIAN</vt:lpstr>
      <vt:lpstr>CRISTIANA</vt:lpstr>
      <vt:lpstr>CRISTIANI</vt:lpstr>
      <vt:lpstr>DAVID</vt:lpstr>
      <vt:lpstr>PENDIENTE</vt:lpstr>
      <vt:lpstr>PENDIENTETE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UsoPersonal</cp:lastModifiedBy>
  <dcterms:created xsi:type="dcterms:W3CDTF">2026-01-31T21:26:28Z</dcterms:created>
  <dcterms:modified xsi:type="dcterms:W3CDTF">2026-01-31T22:47:41Z</dcterms:modified>
</cp:coreProperties>
</file>